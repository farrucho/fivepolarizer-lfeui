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eLivro"/>
  <mc:AlternateContent xmlns:mc="http://schemas.openxmlformats.org/markup-compatibility/2006">
    <mc:Choice Requires="x15">
      <x15ac:absPath xmlns:x15ac="http://schemas.microsoft.com/office/spreadsheetml/2010/11/ac" url="C:\Users\laran\Desktop\"/>
    </mc:Choice>
  </mc:AlternateContent>
  <xr:revisionPtr revIDLastSave="0" documentId="13_ncr:1_{004D2755-8473-432E-9D90-CA2641C0B193}" xr6:coauthVersionLast="47" xr6:coauthVersionMax="47" xr10:uidLastSave="{00000000-0000-0000-0000-000000000000}"/>
  <bookViews>
    <workbookView xWindow="-108" yWindow="-108" windowWidth="23256" windowHeight="12456" tabRatio="231" xr2:uid="{00000000-000D-0000-FFFF-FFFF00000000}"/>
  </bookViews>
  <sheets>
    <sheet name="folha quântica" sheetId="7" r:id="rId1"/>
  </sheets>
  <definedNames>
    <definedName name="BUDGET_Title">#REF!</definedName>
    <definedName name="ColumnTitle1">#REF!</definedName>
    <definedName name="COMPANY_NAME">#REF!</definedName>
    <definedName name="Title1">#REF!</definedName>
    <definedName name="Title2">#REF!</definedName>
    <definedName name="Title3">#REF!</definedName>
    <definedName name="Title4">#REF!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7" i="7" l="1"/>
  <c r="G5" i="7"/>
  <c r="G6" i="7" s="1"/>
  <c r="G7" i="7" s="1"/>
  <c r="G8" i="7" s="1"/>
  <c r="G9" i="7" s="1"/>
  <c r="G10" i="7" s="1"/>
  <c r="G11" i="7" s="1"/>
  <c r="G12" i="7" s="1"/>
  <c r="G13" i="7" s="1"/>
  <c r="G14" i="7" s="1"/>
  <c r="F7" i="7"/>
  <c r="F8" i="7"/>
  <c r="F9" i="7"/>
  <c r="F10" i="7"/>
  <c r="F11" i="7"/>
  <c r="F12" i="7"/>
  <c r="F13" i="7"/>
  <c r="F14" i="7"/>
  <c r="F6" i="7"/>
  <c r="F5" i="7"/>
  <c r="L9" i="7" l="1"/>
</calcChain>
</file>

<file path=xl/sharedStrings.xml><?xml version="1.0" encoding="utf-8"?>
<sst xmlns="http://schemas.openxmlformats.org/spreadsheetml/2006/main" count="24" uniqueCount="16">
  <si>
    <t>Probabilidade de atravessamento de n polarizadores</t>
  </si>
  <si>
    <t>Estado</t>
  </si>
  <si>
    <t>Ângulo ∠</t>
  </si>
  <si>
    <t>Atravessamento</t>
  </si>
  <si>
    <t>Ativo</t>
  </si>
  <si>
    <t>Inativo</t>
  </si>
  <si>
    <t>Total de fotões lançados:</t>
  </si>
  <si>
    <t>Probabilidade Efetiva:</t>
  </si>
  <si>
    <t>Probabilidade Teórica:</t>
  </si>
  <si>
    <t>Calcular</t>
  </si>
  <si>
    <t>Memoria</t>
  </si>
  <si>
    <t>Probabilidade (%)</t>
  </si>
  <si>
    <t>Polarizador #</t>
  </si>
  <si>
    <t>Se calcular  = 0 dá load na memoria</t>
  </si>
  <si>
    <t xml:space="preserve"> </t>
  </si>
  <si>
    <t>Total de fotões detetados: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</si>
</sst>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mmmm\ yyyy"/>
    <numFmt numFmtId="165" formatCode="0.0%"/>
    <numFmt numFmtId="166" formatCode="0.0"/>
  </numFmts>
  <fonts count="13" x14ac:knownFonts="1">
    <font>
      <sz val="11"/>
      <color theme="1" tint="0.2499465926084170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9" tint="-0.499984740745262"/>
      <name val="Gill Sans MT"/>
      <family val="2"/>
      <scheme val="minor"/>
    </font>
    <font>
      <sz val="11"/>
      <color rgb="FF6C0000"/>
      <name val="Gill Sans MT"/>
      <family val="2"/>
      <scheme val="minor"/>
    </font>
    <font>
      <sz val="36"/>
      <color theme="3"/>
      <name val="Gill Sans MT"/>
      <family val="2"/>
      <scheme val="major"/>
    </font>
    <font>
      <sz val="11"/>
      <color theme="3"/>
      <name val="Gill Sans MT"/>
      <family val="2"/>
      <scheme val="major"/>
    </font>
    <font>
      <sz val="11"/>
      <color theme="1" tint="4.9989318521683403E-2"/>
      <name val="Gill Sans MT"/>
      <family val="2"/>
      <scheme val="major"/>
    </font>
    <font>
      <sz val="11"/>
      <color theme="1" tint="0.24994659260841701"/>
      <name val="Gill Sans MT"/>
      <family val="2"/>
      <scheme val="minor"/>
    </font>
    <font>
      <b/>
      <sz val="11"/>
      <name val="Gill Sans MT"/>
      <family val="2"/>
      <scheme val="minor"/>
    </font>
    <font>
      <sz val="12"/>
      <color theme="0"/>
      <name val="Gill Sans MT"/>
      <family val="2"/>
      <scheme val="minor"/>
    </font>
    <font>
      <b/>
      <sz val="24"/>
      <color theme="0"/>
      <name val="Gill Sans MT"/>
      <family val="2"/>
      <scheme val="minor"/>
    </font>
    <font>
      <b/>
      <sz val="11"/>
      <color theme="1" tint="0.24994659260841701"/>
      <name val="Gill Sans MT"/>
      <family val="2"/>
      <scheme val="minor"/>
    </font>
    <font>
      <b/>
      <sz val="11"/>
      <color theme="1" tint="0.24994659260841701"/>
      <name val="Roboto Black"/>
    </font>
  </fonts>
  <fills count="9">
    <fill>
      <patternFill patternType="none"/>
    </fill>
    <fill>
      <patternFill patternType="gray125"/>
    </fill>
    <fill>
      <patternFill patternType="solid">
        <fgColor theme="7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F2F2F2"/>
      </patternFill>
    </fill>
    <fill>
      <patternFill patternType="solid">
        <fgColor theme="6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/>
      <right/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</borders>
  <cellStyleXfs count="14">
    <xf numFmtId="40" fontId="0" fillId="0" borderId="0">
      <alignment horizontal="center" vertical="center" wrapText="1"/>
    </xf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" fillId="2" borderId="0" applyNumberFormat="0" applyBorder="0" applyAlignment="0" applyProtection="0"/>
    <xf numFmtId="0" fontId="9" fillId="0" borderId="0" applyNumberFormat="0" applyFill="0" applyAlignment="0" applyProtection="0"/>
    <xf numFmtId="0" fontId="6" fillId="4" borderId="0" applyBorder="0" applyProtection="0">
      <alignment horizontal="left" vertical="center" indent="1"/>
    </xf>
    <xf numFmtId="0" fontId="6" fillId="4" borderId="0" applyNumberFormat="0" applyBorder="0" applyProtection="0">
      <alignment horizontal="left" vertical="center"/>
    </xf>
    <xf numFmtId="0" fontId="1" fillId="0" borderId="0" applyNumberFormat="0" applyFill="0" applyAlignment="0" applyProtection="0"/>
    <xf numFmtId="0" fontId="3" fillId="0" borderId="0" applyNumberFormat="0" applyFill="0" applyBorder="0" applyAlignment="0" applyProtection="0"/>
    <xf numFmtId="40" fontId="1" fillId="0" borderId="0" applyFont="0" applyFill="0" applyBorder="0" applyProtection="0">
      <alignment horizontal="right"/>
    </xf>
    <xf numFmtId="165" fontId="1" fillId="0" borderId="0" applyFont="0" applyFill="0" applyBorder="0" applyProtection="0">
      <alignment horizontal="right"/>
    </xf>
    <xf numFmtId="164" fontId="5" fillId="3" borderId="0" applyFill="0" applyBorder="0">
      <alignment horizontal="right"/>
    </xf>
    <xf numFmtId="0" fontId="7" fillId="0" borderId="0" applyNumberFormat="0" applyProtection="0">
      <alignment horizontal="left" vertical="center" indent="1"/>
    </xf>
    <xf numFmtId="0" fontId="8" fillId="5" borderId="1" applyNumberFormat="0" applyFill="0" applyBorder="0" applyAlignment="0" applyProtection="0"/>
  </cellStyleXfs>
  <cellXfs count="21">
    <xf numFmtId="40" fontId="0" fillId="0" borderId="0" xfId="0">
      <alignment horizontal="center" vertical="center" wrapText="1"/>
    </xf>
    <xf numFmtId="40" fontId="0" fillId="6" borderId="0" xfId="0" applyFill="1">
      <alignment horizontal="center" vertical="center" wrapText="1"/>
    </xf>
    <xf numFmtId="0" fontId="0" fillId="0" borderId="0" xfId="0" applyNumberFormat="1">
      <alignment horizontal="center" vertical="center" wrapText="1"/>
    </xf>
    <xf numFmtId="40" fontId="0" fillId="0" borderId="3" xfId="0" applyBorder="1">
      <alignment horizontal="center" vertical="center" wrapText="1"/>
    </xf>
    <xf numFmtId="40" fontId="0" fillId="0" borderId="4" xfId="0" applyBorder="1">
      <alignment horizontal="center" vertical="center" wrapText="1"/>
    </xf>
    <xf numFmtId="0" fontId="0" fillId="0" borderId="4" xfId="0" applyNumberFormat="1" applyBorder="1">
      <alignment horizontal="center" vertical="center" wrapText="1"/>
    </xf>
    <xf numFmtId="166" fontId="0" fillId="0" borderId="3" xfId="0" applyNumberFormat="1" applyBorder="1">
      <alignment horizontal="center" vertical="center" wrapText="1"/>
    </xf>
    <xf numFmtId="40" fontId="11" fillId="0" borderId="5" xfId="0" applyFont="1" applyBorder="1">
      <alignment horizontal="center" vertical="center" wrapText="1"/>
    </xf>
    <xf numFmtId="40" fontId="11" fillId="0" borderId="6" xfId="0" applyFont="1" applyBorder="1">
      <alignment horizontal="center" vertical="center" wrapText="1"/>
    </xf>
    <xf numFmtId="40" fontId="11" fillId="0" borderId="7" xfId="0" applyFont="1" applyBorder="1">
      <alignment horizontal="center" vertical="center" wrapText="1"/>
    </xf>
    <xf numFmtId="40" fontId="12" fillId="0" borderId="0" xfId="0" applyFont="1">
      <alignment horizontal="center" vertical="center" wrapText="1"/>
    </xf>
    <xf numFmtId="40" fontId="12" fillId="0" borderId="3" xfId="0" applyFont="1" applyBorder="1">
      <alignment horizontal="center" vertical="center" wrapText="1"/>
    </xf>
    <xf numFmtId="40" fontId="0" fillId="0" borderId="2" xfId="0" applyBorder="1">
      <alignment horizontal="center" vertical="center" wrapText="1"/>
    </xf>
    <xf numFmtId="10" fontId="0" fillId="0" borderId="5" xfId="10" applyNumberFormat="1" applyFont="1" applyBorder="1" applyAlignment="1">
      <alignment horizontal="right" vertical="center"/>
    </xf>
    <xf numFmtId="10" fontId="0" fillId="0" borderId="6" xfId="10" applyNumberFormat="1" applyFont="1" applyBorder="1" applyAlignment="1">
      <alignment horizontal="right" vertical="center"/>
    </xf>
    <xf numFmtId="10" fontId="0" fillId="0" borderId="7" xfId="10" applyNumberFormat="1" applyFont="1" applyBorder="1" applyAlignment="1">
      <alignment horizontal="right" vertical="center"/>
    </xf>
    <xf numFmtId="40" fontId="0" fillId="0" borderId="0" xfId="0">
      <alignment horizontal="center" vertical="center" wrapText="1"/>
    </xf>
    <xf numFmtId="40" fontId="10" fillId="7" borderId="0" xfId="0" applyFont="1" applyFill="1">
      <alignment horizontal="center" vertical="center" wrapText="1"/>
    </xf>
    <xf numFmtId="40" fontId="0" fillId="8" borderId="2" xfId="0" applyFill="1" applyBorder="1">
      <alignment horizontal="center" vertical="center" wrapText="1"/>
    </xf>
    <xf numFmtId="40" fontId="0" fillId="0" borderId="2" xfId="0" applyBorder="1">
      <alignment horizontal="center" vertical="center" wrapText="1"/>
    </xf>
    <xf numFmtId="10" fontId="0" fillId="0" borderId="2" xfId="10" applyNumberFormat="1" applyFont="1" applyBorder="1" applyAlignment="1">
      <alignment horizontal="center" vertical="center"/>
    </xf>
  </cellXfs>
  <cellStyles count="14">
    <cellStyle name="60% - Cor4" xfId="3" builtinId="44" customBuiltin="1"/>
    <cellStyle name="Cabeçalho 1" xfId="4" builtinId="16" customBuiltin="1"/>
    <cellStyle name="Cabeçalho 2" xfId="5" builtinId="17" customBuiltin="1"/>
    <cellStyle name="Cabeçalho 3" xfId="6" builtinId="18" customBuiltin="1"/>
    <cellStyle name="Cabeçalho 4" xfId="2" builtinId="19" customBuiltin="1"/>
    <cellStyle name="Date" xfId="11" xr:uid="{00000000-0005-0000-0000-000003000000}"/>
    <cellStyle name="Entrada" xfId="12" builtinId="20" customBuiltin="1"/>
    <cellStyle name="Normal" xfId="0" builtinId="0" customBuiltin="1"/>
    <cellStyle name="Percentagem" xfId="10" builtinId="5" customBuiltin="1"/>
    <cellStyle name="Saída" xfId="13" builtinId="21" customBuiltin="1"/>
    <cellStyle name="Texto de Aviso" xfId="8" builtinId="11" customBuiltin="1"/>
    <cellStyle name="Título" xfId="1" builtinId="15" customBuiltin="1"/>
    <cellStyle name="Total" xfId="7" builtinId="25" customBuiltin="1"/>
    <cellStyle name="Vírgula" xfId="9" builtinId="3" customBuiltin="1"/>
  </cellStyles>
  <dxfs count="27">
    <dxf>
      <numFmt numFmtId="166" formatCode="0.0"/>
      <border diagonalUp="0" diagonalDown="0" outline="0">
        <left style="thin">
          <color theme="1" tint="0.34998626667073579"/>
        </left>
        <right style="thin">
          <color theme="1" tint="0.34998626667073579"/>
        </right>
        <top/>
        <bottom/>
      </border>
    </dxf>
    <dxf>
      <numFmt numFmtId="8" formatCode="#,##0.00;[Red]\-#,##0.00"/>
      <alignment horizontal="right" vertical="center" textRotation="0" wrapText="0" indent="0" justifyLastLine="0" shrinkToFit="0" readingOrder="0"/>
      <border diagonalUp="0" diagonalDown="0" outline="0">
        <left style="thin">
          <color theme="1" tint="0.34998626667073579"/>
        </left>
        <right style="thin">
          <color theme="1" tint="0.34998626667073579"/>
        </right>
        <top/>
        <bottom/>
      </border>
    </dxf>
    <dxf>
      <border outline="0">
        <right style="thin">
          <color theme="1" tint="0.34998626667073579"/>
        </right>
      </border>
    </dxf>
    <dxf>
      <font>
        <b/>
      </font>
      <border diagonalUp="0" diagonalDown="0">
        <left style="thin">
          <color theme="1" tint="0.34998626667073579"/>
        </left>
        <right style="thin">
          <color theme="1" tint="0.34998626667073579"/>
        </right>
        <top/>
        <bottom/>
        <vertical/>
        <horizontal/>
      </border>
    </dxf>
    <dxf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 style="thin">
          <color theme="1" tint="0.249977111117893"/>
        </bottom>
      </border>
    </dxf>
    <dxf>
      <font>
        <b/>
        <strike val="0"/>
        <outline val="0"/>
        <shadow val="0"/>
        <u val="none"/>
        <vertAlign val="baseline"/>
        <sz val="11"/>
        <color theme="1" tint="0.24994659260841701"/>
        <name val="Roboto Black"/>
        <scheme val="none"/>
      </font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6"/>
        </patternFill>
      </fill>
    </dxf>
    <dxf>
      <font>
        <color theme="0"/>
      </font>
      <fill>
        <patternFill>
          <fgColor theme="3" tint="-0.24994659260841701"/>
          <bgColor theme="3" tint="-0.24994659260841701"/>
        </patternFill>
      </fill>
    </dxf>
    <dxf>
      <fill>
        <patternFill>
          <bgColor theme="0" tint="-4.9989318521683403E-2"/>
        </patternFill>
      </fill>
    </dxf>
    <dxf>
      <fill>
        <patternFill>
          <bgColor theme="6"/>
        </patternFill>
      </fill>
    </dxf>
    <dxf>
      <font>
        <color theme="0"/>
      </font>
      <fill>
        <patternFill>
          <bgColor theme="5" tint="-0.499984740745262"/>
        </patternFill>
      </fill>
    </dxf>
    <dxf>
      <fill>
        <patternFill>
          <bgColor theme="0" tint="-4.9989318521683403E-2"/>
        </patternFill>
      </fill>
    </dxf>
    <dxf>
      <fill>
        <patternFill>
          <bgColor theme="6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0" tint="-0.14996795556505021"/>
        </patternFill>
      </fill>
    </dxf>
    <dxf>
      <font>
        <b/>
        <i val="0"/>
      </font>
      <fill>
        <patternFill patternType="solid">
          <bgColor theme="0" tint="-4.9989318521683403E-2"/>
        </patternFill>
      </fill>
    </dxf>
    <dxf>
      <font>
        <b val="0"/>
        <i val="0"/>
        <color theme="1"/>
      </font>
      <fill>
        <patternFill patternType="solid">
          <fgColor theme="4"/>
          <bgColor theme="0" tint="-0.14996795556505021"/>
        </patternFill>
      </fill>
      <border>
        <top style="thin">
          <color theme="0"/>
        </top>
      </border>
    </dxf>
    <dxf>
      <font>
        <b val="0"/>
        <i val="0"/>
        <color theme="0"/>
      </font>
      <fill>
        <gradientFill degree="90">
          <stop position="0">
            <color theme="6" tint="-0.49803155613879818"/>
          </stop>
          <stop position="1">
            <color theme="6" tint="-0.25098422193060094"/>
          </stop>
        </gradientFill>
      </fill>
      <border diagonalUp="0" diagonalDown="0">
        <left/>
        <right/>
        <top/>
        <bottom/>
        <vertical/>
        <horizontal/>
      </border>
    </dxf>
    <dxf>
      <font>
        <b val="0"/>
        <i val="0"/>
        <color theme="1"/>
      </font>
      <fill>
        <patternFill patternType="solid">
          <fgColor auto="1"/>
          <bgColor theme="0" tint="-4.9989318521683403E-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0" tint="-4.9989318521683403E-2"/>
        </patternFill>
      </fill>
    </dxf>
    <dxf>
      <fill>
        <patternFill>
          <bgColor theme="6"/>
        </patternFill>
      </fill>
    </dxf>
    <dxf>
      <font>
        <color theme="0"/>
      </font>
      <fill>
        <patternFill>
          <bgColor theme="9" tint="-0.749961851863155"/>
        </patternFill>
      </fill>
    </dxf>
  </dxfs>
  <tableStyles count="5" defaultTableStyle="Monthly Budget" defaultPivotStyle="PivotStyleLight16">
    <tableStyle name="Income" pivot="0" count="3" xr9:uid="{39CD2CDA-2AC2-7047-981A-EFD1CC94014D}">
      <tableStyleElement type="headerRow" dxfId="26"/>
      <tableStyleElement type="totalRow" dxfId="25"/>
      <tableStyleElement type="firstRowStripe" dxfId="24"/>
    </tableStyle>
    <tableStyle name="Monthly Budget" pivot="0" count="5" xr9:uid="{00000000-0011-0000-FFFF-FFFF00000000}">
      <tableStyleElement type="wholeTable" dxfId="23"/>
      <tableStyleElement type="headerRow" dxfId="22"/>
      <tableStyleElement type="totalRow" dxfId="21"/>
      <tableStyleElement type="lastColumn" dxfId="20"/>
      <tableStyleElement type="secondRowStripe" dxfId="19"/>
    </tableStyle>
    <tableStyle name="Operating Expenses" pivot="0" count="3" xr9:uid="{238C2E5E-FCB8-3443-8813-412B84A4CEAB}">
      <tableStyleElement type="headerRow" dxfId="18"/>
      <tableStyleElement type="totalRow" dxfId="17"/>
      <tableStyleElement type="secondRowStripe" dxfId="16"/>
    </tableStyle>
    <tableStyle name="Personal Expenses" pivot="0" count="3" xr9:uid="{9C928B7B-F361-4645-BF1B-B9861077DF97}">
      <tableStyleElement type="headerRow" dxfId="15"/>
      <tableStyleElement type="totalRow" dxfId="14"/>
      <tableStyleElement type="secondRowStripe" dxfId="13"/>
    </tableStyle>
    <tableStyle name="Summary" pivot="0" count="4" xr9:uid="{2F7C3F75-98F9-6B44-A135-CEB2FB9A67FB}">
      <tableStyleElement type="headerRow" dxfId="12"/>
      <tableStyleElement type="totalRow" dxfId="11"/>
      <tableStyleElement type="lastColumn" dxfId="10"/>
      <tableStyleElement type="secondRowStripe" dxfId="9"/>
    </tableStyle>
  </tableStyles>
  <colors>
    <mruColors>
      <color rgb="FFFFFF00"/>
      <color rgb="FFFFFF09"/>
      <color rgb="FFFFFF66"/>
      <color rgb="FFF4444F"/>
      <color rgb="FFD4E6D0"/>
      <color rgb="FFEEEADE"/>
      <color rgb="FF44382C"/>
      <color rgb="FFFFFDF8"/>
      <color rgb="FFA7937B"/>
      <color rgb="FFF2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473242</xdr:colOff>
      <xdr:row>10</xdr:row>
      <xdr:rowOff>280736</xdr:rowOff>
    </xdr:from>
    <xdr:to>
      <xdr:col>11</xdr:col>
      <xdr:colOff>32084</xdr:colOff>
      <xdr:row>12</xdr:row>
      <xdr:rowOff>112294</xdr:rowOff>
    </xdr:to>
    <xdr:sp macro="[0]!Folha1.Emitir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172BCCF-EBF5-2D59-F680-E60EE1FC428C}"/>
            </a:ext>
          </a:extLst>
        </xdr:cNvPr>
        <xdr:cNvSpPr/>
      </xdr:nvSpPr>
      <xdr:spPr>
        <a:xfrm>
          <a:off x="7026442" y="3874168"/>
          <a:ext cx="1387642" cy="44115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800" kern="1200"/>
            <a:t>Emitir Fotão</a:t>
          </a:r>
        </a:p>
      </xdr:txBody>
    </xdr:sp>
    <xdr:clientData/>
  </xdr:twoCellAnchor>
  <xdr:twoCellAnchor>
    <xdr:from>
      <xdr:col>11</xdr:col>
      <xdr:colOff>264684</xdr:colOff>
      <xdr:row>10</xdr:row>
      <xdr:rowOff>280737</xdr:rowOff>
    </xdr:from>
    <xdr:to>
      <xdr:col>13</xdr:col>
      <xdr:colOff>433126</xdr:colOff>
      <xdr:row>12</xdr:row>
      <xdr:rowOff>112295</xdr:rowOff>
    </xdr:to>
    <xdr:sp macro="[0]!Folha1.Reset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37D178F7-AA30-442E-B334-35B10F8D4484}"/>
            </a:ext>
          </a:extLst>
        </xdr:cNvPr>
        <xdr:cNvSpPr/>
      </xdr:nvSpPr>
      <xdr:spPr>
        <a:xfrm>
          <a:off x="8646684" y="3874169"/>
          <a:ext cx="1387642" cy="44115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800" kern="1200"/>
            <a:t>Reset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6F9A3B7-FB06-4318-9674-E50007FC70CB}" name="Tabela6" displayName="Tabela6" ref="C4:G14" totalsRowShown="0" headerRowDxfId="5" tableBorderDxfId="4">
  <autoFilter ref="C4:G14" xr:uid="{F6F9A3B7-FB06-4318-9674-E50007FC70CB}"/>
  <tableColumns count="5">
    <tableColumn id="1" xr3:uid="{FF4542A1-7BC4-46DD-8EB3-003AB282CA8F}" name="Polarizador #"/>
    <tableColumn id="2" xr3:uid="{C758C84F-DD7F-4046-9924-E6A5D043E23F}" name="Estado" dataDxfId="3"/>
    <tableColumn id="3" xr3:uid="{45260B93-3778-4698-8698-2C68D0871F4A}" name="Ângulo ∠" dataDxfId="2"/>
    <tableColumn id="4" xr3:uid="{B1E0DBC2-FF5B-4499-837B-C5494C27A0F9}" name="Probabilidade (%)" dataDxfId="1">
      <calculatedColumnFormula>IF(D5="Ativo",COS((E5-0)*PI()/180)^2,1)</calculatedColumnFormula>
    </tableColumn>
    <tableColumn id="5" xr3:uid="{190CDA83-7E54-443D-88E8-4A69B936DEEF}" name="Atravessamento" dataDxfId="0"/>
  </tableColumns>
  <tableStyleInfo name="Personal Expenses" showFirstColumn="0" showLastColumn="0" showRowStripes="1" showColumnStripes="0"/>
</table>
</file>

<file path=xl/theme/theme1.xml><?xml version="1.0" encoding="utf-8"?>
<a:theme xmlns:a="http://schemas.openxmlformats.org/drawingml/2006/main" name="Thatch">
  <a:themeElements>
    <a:clrScheme name="Business monthly Budget">
      <a:dk1>
        <a:srgbClr val="000000"/>
      </a:dk1>
      <a:lt1>
        <a:srgbClr val="FFFFFF"/>
      </a:lt1>
      <a:dk2>
        <a:srgbClr val="57999A"/>
      </a:dk2>
      <a:lt2>
        <a:srgbClr val="E7E6E6"/>
      </a:lt2>
      <a:accent1>
        <a:srgbClr val="7DBAB2"/>
      </a:accent1>
      <a:accent2>
        <a:srgbClr val="A9D4BF"/>
      </a:accent2>
      <a:accent3>
        <a:srgbClr val="D4E6CF"/>
      </a:accent3>
      <a:accent4>
        <a:srgbClr val="468282"/>
      </a:accent4>
      <a:accent5>
        <a:srgbClr val="89CCC3"/>
      </a:accent5>
      <a:accent6>
        <a:srgbClr val="E0F5DB"/>
      </a:accent6>
      <a:hlink>
        <a:srgbClr val="0563C1"/>
      </a:hlink>
      <a:folHlink>
        <a:srgbClr val="954F72"/>
      </a:folHlink>
    </a:clrScheme>
    <a:fontScheme name="Small Business Budget">
      <a:majorFont>
        <a:latin typeface="Gill Sans MT"/>
        <a:ea typeface=""/>
        <a:cs typeface=""/>
      </a:majorFont>
      <a:minorFont>
        <a:latin typeface="Gill Sans MT"/>
        <a:ea typeface=""/>
        <a:cs typeface=""/>
      </a:minorFont>
    </a:fontScheme>
    <a:fmtScheme name="Thatch">
      <a:fillStyleLst>
        <a:solidFill>
          <a:schemeClr val="phClr"/>
        </a:solidFill>
        <a:gradFill rotWithShape="1">
          <a:gsLst>
            <a:gs pos="0">
              <a:schemeClr val="phClr">
                <a:tint val="79000"/>
                <a:satMod val="180000"/>
              </a:schemeClr>
            </a:gs>
            <a:gs pos="65000">
              <a:schemeClr val="phClr">
                <a:tint val="52000"/>
                <a:satMod val="250000"/>
              </a:schemeClr>
            </a:gs>
            <a:gs pos="100000">
              <a:schemeClr val="phClr">
                <a:tint val="29000"/>
                <a:satMod val="30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15000"/>
                <a:satMod val="180000"/>
              </a:schemeClr>
            </a:gs>
            <a:gs pos="50000">
              <a:schemeClr val="phClr">
                <a:shade val="45000"/>
                <a:satMod val="170000"/>
              </a:schemeClr>
            </a:gs>
            <a:gs pos="70000">
              <a:schemeClr val="phClr">
                <a:tint val="99000"/>
                <a:shade val="65000"/>
                <a:satMod val="155000"/>
              </a:schemeClr>
            </a:gs>
            <a:gs pos="100000">
              <a:schemeClr val="phClr">
                <a:tint val="95500"/>
                <a:shade val="100000"/>
                <a:satMod val="15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000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000"/>
              </a:srgbClr>
            </a:outerShdw>
          </a:effectLst>
          <a:scene3d>
            <a:camera prst="orthographicFront">
              <a:rot lat="0" lon="0" rev="0"/>
            </a:camera>
            <a:lightRig rig="brightRoom" dir="t">
              <a:rot lat="0" lon="0" rev="8700000"/>
            </a:lightRig>
          </a:scene3d>
          <a:sp3d contourW="12700" prstMaterial="dkEdge">
            <a:bevelT w="0" h="0" prst="relaxedInset"/>
            <a:contourClr>
              <a:schemeClr val="phClr">
                <a:shade val="65000"/>
                <a:satMod val="15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13200000"/>
            </a:lightRig>
          </a:scene3d>
          <a:sp3d prstMaterial="dkEdge">
            <a:bevelT w="63500" h="50800" prst="relaxedInse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85000"/>
                <a:shade val="95000"/>
                <a:satMod val="200000"/>
              </a:schemeClr>
            </a:gs>
            <a:gs pos="53000">
              <a:schemeClr val="phClr">
                <a:shade val="60000"/>
                <a:satMod val="220000"/>
              </a:schemeClr>
            </a:gs>
            <a:gs pos="100000">
              <a:schemeClr val="phClr">
                <a:shade val="45000"/>
                <a:satMod val="22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3000"/>
                <a:shade val="97000"/>
                <a:satMod val="230000"/>
              </a:schemeClr>
            </a:gs>
            <a:gs pos="100000">
              <a:schemeClr val="phClr">
                <a:shade val="35000"/>
                <a:satMod val="250000"/>
              </a:schemeClr>
            </a:gs>
          </a:gsLst>
          <a:path path="circle">
            <a:fillToRect l="15000" t="50000" r="85000" b="6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53D93-A3DF-45ED-99A0-7BC0CB134D97}">
  <sheetPr codeName="Folha1"/>
  <dimension ref="A1:AA14"/>
  <sheetViews>
    <sheetView showGridLines="0" tabSelected="1" zoomScale="95" zoomScaleNormal="139" workbookViewId="0">
      <selection activeCell="O10" sqref="O10"/>
    </sheetView>
  </sheetViews>
  <sheetFormatPr defaultRowHeight="18" x14ac:dyDescent="0.5"/>
  <cols>
    <col min="1" max="1" width="4.88671875" customWidth="1"/>
    <col min="2" max="2" width="8.88671875" customWidth="1"/>
    <col min="3" max="3" width="13.6640625" customWidth="1"/>
    <col min="4" max="4" width="11.21875" customWidth="1"/>
    <col min="5" max="5" width="14.109375" customWidth="1"/>
    <col min="6" max="6" width="17.5546875" customWidth="1"/>
    <col min="7" max="7" width="16.21875" customWidth="1"/>
    <col min="10" max="10" width="8.88671875" customWidth="1"/>
  </cols>
  <sheetData>
    <row r="1" spans="1:27" ht="58.8" customHeight="1" x14ac:dyDescent="0.5">
      <c r="A1" s="1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</row>
    <row r="3" spans="1:27" x14ac:dyDescent="0.5">
      <c r="M3" t="s">
        <v>14</v>
      </c>
    </row>
    <row r="4" spans="1:27" ht="43.8" customHeight="1" x14ac:dyDescent="0.5">
      <c r="B4" s="3"/>
      <c r="C4" s="10" t="s">
        <v>12</v>
      </c>
      <c r="D4" s="10" t="s">
        <v>1</v>
      </c>
      <c r="E4" s="10" t="s">
        <v>2</v>
      </c>
      <c r="F4" s="10" t="s">
        <v>11</v>
      </c>
      <c r="G4" s="11" t="s">
        <v>3</v>
      </c>
      <c r="J4" s="18" t="s">
        <v>6</v>
      </c>
      <c r="K4" s="18"/>
      <c r="L4" s="12">
        <v>66</v>
      </c>
      <c r="X4" t="s">
        <v>9</v>
      </c>
      <c r="Y4">
        <v>0</v>
      </c>
      <c r="Z4" s="16" t="s">
        <v>13</v>
      </c>
      <c r="AA4" s="16"/>
    </row>
    <row r="5" spans="1:27" ht="24" customHeight="1" x14ac:dyDescent="0.5">
      <c r="B5" s="3"/>
      <c r="C5" s="2">
        <v>1</v>
      </c>
      <c r="D5" s="7" t="s">
        <v>4</v>
      </c>
      <c r="E5">
        <v>0</v>
      </c>
      <c r="F5" s="13">
        <f t="shared" ref="F5" si="0">IF(D5="Ativo",COS((E5-0)*PI()/180)^2,1)</f>
        <v>1</v>
      </c>
      <c r="G5" s="6">
        <f ca="1">IF($Y$4=1,IF(RAND()&lt;F5,1,0),Y5)</f>
        <v>1</v>
      </c>
      <c r="J5" s="18" t="s">
        <v>15</v>
      </c>
      <c r="K5" s="18"/>
      <c r="L5" s="19">
        <v>33</v>
      </c>
      <c r="X5" t="s">
        <v>10</v>
      </c>
      <c r="Y5">
        <v>1</v>
      </c>
    </row>
    <row r="6" spans="1:27" ht="24" customHeight="1" x14ac:dyDescent="0.5">
      <c r="B6" s="3"/>
      <c r="C6" s="2">
        <v>2</v>
      </c>
      <c r="D6" s="8" t="s">
        <v>4</v>
      </c>
      <c r="E6">
        <v>22</v>
      </c>
      <c r="F6" s="14">
        <f>IF(D6="Ativo",COS((E6-E5)*PI()/180)^2,1)</f>
        <v>0.85966990016932565</v>
      </c>
      <c r="G6" s="6">
        <f ca="1">IF($Y$4=1,IF(RAND()&lt;F6,1*G5,0),Y6)</f>
        <v>1</v>
      </c>
      <c r="J6" s="18"/>
      <c r="K6" s="18"/>
      <c r="L6" s="19"/>
      <c r="Y6">
        <v>1</v>
      </c>
    </row>
    <row r="7" spans="1:27" ht="24" customHeight="1" x14ac:dyDescent="0.5">
      <c r="B7" s="3"/>
      <c r="C7" s="2">
        <v>3</v>
      </c>
      <c r="D7" s="8" t="s">
        <v>4</v>
      </c>
      <c r="E7">
        <v>45</v>
      </c>
      <c r="F7" s="14">
        <f t="shared" ref="F7:F14" si="1">IF(D7="Ativo",COS((E7-E6)*PI()/180)^2,1)</f>
        <v>0.84732918522949874</v>
      </c>
      <c r="G7" s="6">
        <f t="shared" ref="G7:G14" ca="1" si="2">IF($Y$4=1,IF(RAND()&lt;F7,1*G6,0),Y7)</f>
        <v>1</v>
      </c>
      <c r="J7" s="18" t="s">
        <v>7</v>
      </c>
      <c r="K7" s="18"/>
      <c r="L7" s="20">
        <f>L5/L4</f>
        <v>0.5</v>
      </c>
      <c r="Y7">
        <v>1</v>
      </c>
    </row>
    <row r="8" spans="1:27" ht="24" customHeight="1" x14ac:dyDescent="0.5">
      <c r="B8" s="3"/>
      <c r="C8" s="2">
        <v>4</v>
      </c>
      <c r="D8" s="8" t="s">
        <v>4</v>
      </c>
      <c r="E8">
        <v>60</v>
      </c>
      <c r="F8" s="14">
        <f t="shared" si="1"/>
        <v>0.93301270189221941</v>
      </c>
      <c r="G8" s="6">
        <f t="shared" ca="1" si="2"/>
        <v>1</v>
      </c>
      <c r="J8" s="18"/>
      <c r="K8" s="18"/>
      <c r="L8" s="20"/>
      <c r="Y8">
        <v>1</v>
      </c>
    </row>
    <row r="9" spans="1:27" ht="24" customHeight="1" x14ac:dyDescent="0.5">
      <c r="B9" s="3"/>
      <c r="C9" s="2">
        <v>5</v>
      </c>
      <c r="D9" s="8" t="s">
        <v>4</v>
      </c>
      <c r="E9">
        <v>90</v>
      </c>
      <c r="F9" s="14">
        <f t="shared" si="1"/>
        <v>0.75000000000000011</v>
      </c>
      <c r="G9" s="6">
        <f t="shared" ca="1" si="2"/>
        <v>1</v>
      </c>
      <c r="J9" s="18" t="s">
        <v>8</v>
      </c>
      <c r="K9" s="18"/>
      <c r="L9" s="20">
        <f>PRODUCT(F5:F14)</f>
        <v>0.50972121067134057</v>
      </c>
      <c r="Y9">
        <v>1</v>
      </c>
    </row>
    <row r="10" spans="1:27" ht="24" customHeight="1" x14ac:dyDescent="0.5">
      <c r="B10" s="3"/>
      <c r="C10" s="2">
        <v>6</v>
      </c>
      <c r="D10" s="8" t="s">
        <v>5</v>
      </c>
      <c r="E10">
        <v>60</v>
      </c>
      <c r="F10" s="14">
        <f t="shared" si="1"/>
        <v>1</v>
      </c>
      <c r="G10" s="6">
        <f t="shared" ca="1" si="2"/>
        <v>1</v>
      </c>
      <c r="J10" s="18"/>
      <c r="K10" s="18"/>
      <c r="L10" s="20"/>
      <c r="Y10">
        <v>1</v>
      </c>
    </row>
    <row r="11" spans="1:27" ht="24" customHeight="1" x14ac:dyDescent="0.5">
      <c r="B11" s="3"/>
      <c r="C11" s="2">
        <v>7</v>
      </c>
      <c r="D11" s="8" t="s">
        <v>5</v>
      </c>
      <c r="E11">
        <v>90</v>
      </c>
      <c r="F11" s="14">
        <f t="shared" si="1"/>
        <v>1</v>
      </c>
      <c r="G11" s="6">
        <f t="shared" ca="1" si="2"/>
        <v>1</v>
      </c>
      <c r="Y11">
        <v>1</v>
      </c>
    </row>
    <row r="12" spans="1:27" ht="24" customHeight="1" x14ac:dyDescent="0.5">
      <c r="B12" s="3"/>
      <c r="C12" s="2">
        <v>8</v>
      </c>
      <c r="D12" s="8" t="s">
        <v>5</v>
      </c>
      <c r="E12">
        <v>90</v>
      </c>
      <c r="F12" s="14">
        <f t="shared" si="1"/>
        <v>1</v>
      </c>
      <c r="G12" s="6">
        <f t="shared" ca="1" si="2"/>
        <v>1</v>
      </c>
      <c r="Y12">
        <v>1</v>
      </c>
    </row>
    <row r="13" spans="1:27" ht="24" customHeight="1" x14ac:dyDescent="0.5">
      <c r="B13" s="3"/>
      <c r="C13" s="2">
        <v>9</v>
      </c>
      <c r="D13" s="8" t="s">
        <v>5</v>
      </c>
      <c r="E13">
        <v>90</v>
      </c>
      <c r="F13" s="14">
        <f t="shared" si="1"/>
        <v>1</v>
      </c>
      <c r="G13" s="6">
        <f t="shared" ca="1" si="2"/>
        <v>1</v>
      </c>
      <c r="Y13">
        <v>1</v>
      </c>
    </row>
    <row r="14" spans="1:27" ht="24" customHeight="1" x14ac:dyDescent="0.5">
      <c r="B14" s="3"/>
      <c r="C14" s="5">
        <v>10</v>
      </c>
      <c r="D14" s="9" t="s">
        <v>5</v>
      </c>
      <c r="E14" s="4">
        <v>90</v>
      </c>
      <c r="F14" s="15">
        <f t="shared" si="1"/>
        <v>1</v>
      </c>
      <c r="G14" s="6">
        <f t="shared" ca="1" si="2"/>
        <v>1</v>
      </c>
      <c r="Y14">
        <v>1</v>
      </c>
    </row>
  </sheetData>
  <mergeCells count="9">
    <mergeCell ref="Z4:AA4"/>
    <mergeCell ref="B1:N1"/>
    <mergeCell ref="J4:K4"/>
    <mergeCell ref="J5:K6"/>
    <mergeCell ref="J9:K10"/>
    <mergeCell ref="J7:K8"/>
    <mergeCell ref="L5:L6"/>
    <mergeCell ref="L7:L8"/>
    <mergeCell ref="L9:L10"/>
  </mergeCells>
  <conditionalFormatting sqref="D5:D14">
    <cfRule type="cellIs" dxfId="8" priority="7" operator="equal">
      <formula>"Inativo"</formula>
    </cfRule>
    <cfRule type="cellIs" dxfId="7" priority="8" operator="equal">
      <formula>"Ativo"</formula>
    </cfRule>
  </conditionalFormatting>
  <conditionalFormatting sqref="F5:F14">
    <cfRule type="colorScale" priority="2">
      <colorScale>
        <cfvo type="percent" val="0"/>
        <cfvo type="percent" val="50"/>
        <cfvo type="percent" val="100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num" val="0"/>
        <cfvo type="num" val="&quot;0.5&quot;"/>
        <cfvo type="num" val="1"/>
        <color rgb="FFF8696B"/>
        <color rgb="FFFFEB84"/>
        <color rgb="FF63BE7B"/>
      </colorScale>
    </cfRule>
    <cfRule type="colorScale" priority="5">
      <colorScale>
        <cfvo type="num" val="0"/>
        <cfvo type="num" val="50"/>
        <cfvo type="num" val="100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:G14">
    <cfRule type="cellIs" dxfId="6" priority="1" operator="equal">
      <formula>1</formula>
    </cfRule>
  </conditionalFormatting>
  <dataValidations count="1">
    <dataValidation type="list" allowBlank="1" showInputMessage="1" showErrorMessage="1" sqref="D5:D14" xr:uid="{0137F1D2-4C0B-4ED1-BBA3-EF5F710C9517}">
      <formula1>"Ativo, Inativo"</formula1>
    </dataValidation>
  </dataValidations>
  <pageMargins left="0.7" right="0.7" top="0.75" bottom="0.75" header="0.3" footer="0.3"/>
  <pageSetup paperSize="9" orientation="portrait" r:id="rId1"/>
  <ignoredErrors>
    <ignoredError sqref="F6 F7:F14" calculatedColumn="1"/>
  </ignoredErrors>
  <drawing r:id="rId2"/>
  <tableParts count="1">
    <tablePart r:id="rId3"/>
  </tableParts>
</worksheet>
</file>

<file path=docMetadata/LabelInfo.xml><?xml version="1.0" encoding="utf-8"?>
<clbl:labelList xmlns:clbl="http://schemas.microsoft.com/office/2020/mipLabelMetadata"/>
</file>

<file path=docProps/app.xml><?xml version="1.0" encoding="utf-8"?>
<Properties xmlns="http://schemas.openxmlformats.org/officeDocument/2006/extended-properties" xmlns:vt="http://schemas.openxmlformats.org/officeDocument/2006/docPropsVTypes">
  <Template>TM23032109</Template>
  <TotalTime>0</TotalTime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1</vt:i4>
      </vt:variant>
    </vt:vector>
  </HeadingPairs>
  <TitlesOfParts>
    <vt:vector size="1" baseType="lpstr">
      <vt:lpstr>folha quântica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lastModifiedBy>Francisco Dinis Feteira Laranjo</cp:lastModifiedBy>
  <dcterms:created xsi:type="dcterms:W3CDTF">2025-01-11T13:43:41Z</dcterms:created>
  <dcterms:modified xsi:type="dcterms:W3CDTF">2025-01-14T00:34:46Z</dcterms:modified>
</cp:coreProperties>
</file>